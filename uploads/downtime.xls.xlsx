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ELL_2025\Downloads\"/>
    </mc:Choice>
  </mc:AlternateContent>
  <xr:revisionPtr revIDLastSave="0" documentId="13_ncr:1_{99FAF272-57DE-4629-9540-B85821A512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2" sheetId="3" r:id="rId1"/>
    <sheet name="Feuil4" sheetId="5" r:id="rId2"/>
  </sheets>
  <definedNames>
    <definedName name="_xlnm._FilterDatabase" localSheetId="0" hidden="1">Feuil2!$C$4:$D$4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5" l="1"/>
</calcChain>
</file>

<file path=xl/sharedStrings.xml><?xml version="1.0" encoding="utf-8"?>
<sst xmlns="http://schemas.openxmlformats.org/spreadsheetml/2006/main" count="42" uniqueCount="42">
  <si>
    <t>Break Time</t>
  </si>
  <si>
    <t>Org. Time</t>
  </si>
  <si>
    <t>Setup Time</t>
  </si>
  <si>
    <t>No Cause Time</t>
  </si>
  <si>
    <t>Fail Time</t>
  </si>
  <si>
    <t xml:space="preserve">Downtime </t>
  </si>
  <si>
    <t xml:space="preserve">duration </t>
  </si>
  <si>
    <t>Missing Personnel</t>
  </si>
  <si>
    <t>No Cause</t>
  </si>
  <si>
    <t>Setup - Changeover</t>
  </si>
  <si>
    <t>Setup - Short Fault</t>
  </si>
  <si>
    <t>Break</t>
  </si>
  <si>
    <t>D2.2 Tool adjustment</t>
  </si>
  <si>
    <t>DM 13 Others failure</t>
  </si>
  <si>
    <t>Maintenance Arrived</t>
  </si>
  <si>
    <t>DM 11 Conveyor failure</t>
  </si>
  <si>
    <t>Setup - Learning</t>
  </si>
  <si>
    <t>Setup - Sample</t>
  </si>
  <si>
    <t>Call Maintenance</t>
  </si>
  <si>
    <t>D8.10 Meeting</t>
  </si>
  <si>
    <t>D5.3 No Work</t>
  </si>
  <si>
    <t>D1.10 Manufacturing Equipment Failure  Electric, air</t>
  </si>
  <si>
    <t>D6.2 Missing Norm-time, wrong data, equipment, missing operating base</t>
  </si>
  <si>
    <t>D7.2 Training executives on the workplace</t>
  </si>
  <si>
    <t>No Order</t>
  </si>
  <si>
    <t>D3.1.1 Missing wire</t>
  </si>
  <si>
    <t>D4.4 Simulation for error, test own workplace</t>
  </si>
  <si>
    <t>D2.1.4 Setings -</t>
  </si>
  <si>
    <t>DM 2 Seal station failure</t>
  </si>
  <si>
    <t>D3.1.2 Missing terminal</t>
  </si>
  <si>
    <t>D3.1.7 Missing applicator</t>
  </si>
  <si>
    <t>D5.1 Express/Urgent Order</t>
  </si>
  <si>
    <t>DM 8 Miniaplicator failure</t>
  </si>
  <si>
    <t>D3.1.9 Delay in the issuance of warehouse, problem of transportation</t>
  </si>
  <si>
    <t>D5.2 Lack of Orders</t>
  </si>
  <si>
    <t>DM 9 Seal applicator failure</t>
  </si>
  <si>
    <t>D4.5 100% Sorting, Selection</t>
  </si>
  <si>
    <t>D4.10 Others</t>
  </si>
  <si>
    <t>D3.1.3 Missing seal</t>
  </si>
  <si>
    <t>D2.1.1 Setings - mini applicator, terminal</t>
  </si>
  <si>
    <t>D8.7 delay transport</t>
  </si>
  <si>
    <t xml:space="preserve">Set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</si>
</sst>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64" fontId="1" fillId="0" borderId="0" xfId="0" applyNumberFormat="1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Feuil2!$C$5</c:f>
              <c:strCache>
                <c:ptCount val="1"/>
                <c:pt idx="0">
                  <c:v>Setup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Feuil2!$D$5</c:f>
              <c:numCache>
                <c:formatCode>[$-F400]h:mm:ss\ AM/PM</c:formatCode>
                <c:ptCount val="1"/>
                <c:pt idx="0">
                  <c:v>10220.952777777778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E-4922-B86A-319E2CAEE24A}"/>
            </c:ext>
          </c:extLst>
        </c:ser>
        <c:ser>
          <c:idx val="1"/>
          <c:order val="1"/>
          <c:tx>
            <c:strRef>
              <c:f>Feuil2!$C$6</c:f>
              <c:strCache>
                <c:ptCount val="1"/>
                <c:pt idx="0">
                  <c:v>No Cause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Feuil2!$D$6</c:f>
              <c:numCache>
                <c:formatCode>[$-F400]h:mm:ss\ AM/PM</c:formatCode>
                <c:ptCount val="1"/>
                <c:pt idx="0">
                  <c:v>6599.4944444444391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E-4922-B86A-319E2CAEE24A}"/>
            </c:ext>
          </c:extLst>
        </c:ser>
        <c:ser>
          <c:idx val="2"/>
          <c:order val="2"/>
          <c:tx>
            <c:strRef>
              <c:f>Feuil2!$C$7</c:f>
              <c:strCache>
                <c:ptCount val="1"/>
                <c:pt idx="0">
                  <c:v>Org.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Feuil2!$D$7</c:f>
              <c:numCache>
                <c:formatCode>[$-F400]h:mm:ss\ AM/PM</c:formatCode>
                <c:ptCount val="1"/>
                <c:pt idx="0">
                  <c:v>6064.1840277777819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E-4922-B86A-319E2CAEE24A}"/>
            </c:ext>
          </c:extLst>
        </c:ser>
        <c:ser>
          <c:idx val="3"/>
          <c:order val="3"/>
          <c:tx>
            <c:strRef>
              <c:f>Feuil2!$C$8</c:f>
              <c:strCache>
                <c:ptCount val="1"/>
                <c:pt idx="0">
                  <c:v>Fail Time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Feuil2!$D$8</c:f>
              <c:numCache>
                <c:formatCode>[$-F400]h:mm:ss\ AM/PM</c:formatCode>
                <c:ptCount val="1"/>
                <c:pt idx="0">
                  <c:v>1048.8798611111117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E-4922-B86A-319E2CAEE24A}"/>
            </c:ext>
          </c:extLst>
        </c:ser>
        <c:ser>
          <c:idx val="4"/>
          <c:order val="4"/>
          <c:tx>
            <c:strRef>
              <c:f>Feuil2!$C$9</c:f>
              <c:strCache>
                <c:ptCount val="1"/>
                <c:pt idx="0">
                  <c:v>Break Time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Feuil2!$D$9</c:f>
              <c:numCache>
                <c:formatCode>[$-F400]h:mm:ss\ AM/PM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E-4922-B86A-319E2CAE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78592"/>
        <c:axId val="148171872"/>
      </c:barChart>
      <c:catAx>
        <c:axId val="14817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71872"/>
        <c:crosses val="autoZero"/>
        <c:auto val="1"/>
        <c:lblAlgn val="ctr"/>
        <c:lblOffset val="100"/>
        <c:noMultiLvlLbl val="0"/>
      </c:catAx>
      <c:valAx>
        <c:axId val="14817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Feuil4!$C$4</c:f>
              <c:strCache>
                <c:ptCount val="1"/>
                <c:pt idx="0">
                  <c:v>Break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Feuil4!$D$4</c:f>
              <c:numCache>
                <c:formatCode>[$-F400]h:mm:ss\ AM/PM</c:formatCode>
                <c:ptCount val="1"/>
                <c:pt idx="0">
                  <c:v>1.6286805555555555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F-41E4-B33B-A677BD1308AF}"/>
            </c:ext>
          </c:extLst>
        </c:ser>
        <c:ser>
          <c:idx val="1"/>
          <c:order val="1"/>
          <c:tx>
            <c:strRef>
              <c:f>Feuil4!$C$5</c:f>
              <c:strCache>
                <c:ptCount val="1"/>
                <c:pt idx="0">
                  <c:v>Call Maintenance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Feuil4!$D$5</c:f>
              <c:numCache>
                <c:formatCode>[$-F400]h:mm:ss\ AM/PM</c:formatCode>
                <c:ptCount val="1"/>
                <c:pt idx="0">
                  <c:v>0.45525462962962954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F-41E4-B33B-A677BD1308AF}"/>
            </c:ext>
          </c:extLst>
        </c:ser>
        <c:ser>
          <c:idx val="2"/>
          <c:order val="2"/>
          <c:tx>
            <c:strRef>
              <c:f>Feuil4!$C$6</c:f>
              <c:strCache>
                <c:ptCount val="1"/>
                <c:pt idx="0">
                  <c:v>D1.10 Manufacturing Equipment Failure  Electric, air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Feuil4!$D$6</c:f>
              <c:numCache>
                <c:formatCode>[$-F400]h:mm:ss\ AM/PM</c:formatCode>
                <c:ptCount val="1"/>
                <c:pt idx="0">
                  <c:v>1.0416666666666667E-3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F-41E4-B33B-A677BD1308AF}"/>
            </c:ext>
          </c:extLst>
        </c:ser>
        <c:ser>
          <c:idx val="3"/>
          <c:order val="3"/>
          <c:tx>
            <c:strRef>
              <c:f>Feuil4!$C$7</c:f>
              <c:strCache>
                <c:ptCount val="1"/>
                <c:pt idx="0">
                  <c:v>D2.1.1 Setings - mini applicator, terminal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Feuil4!$D$7</c:f>
              <c:numCache>
                <c:formatCode>[$-F400]h:mm:ss\ AM/PM</c:formatCode>
                <c:ptCount val="1"/>
                <c:pt idx="0">
                  <c:v>1.9675925925925926E-4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6F-41E4-B33B-A677BD1308AF}"/>
            </c:ext>
          </c:extLst>
        </c:ser>
        <c:ser>
          <c:idx val="4"/>
          <c:order val="4"/>
          <c:tx>
            <c:strRef>
              <c:f>Feuil4!$C$8</c:f>
              <c:strCache>
                <c:ptCount val="1"/>
                <c:pt idx="0">
                  <c:v>D2.1.4 Setings -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Feuil4!$D$8</c:f>
              <c:numCache>
                <c:formatCode>[$-F400]h:mm:ss\ AM/PM</c:formatCode>
                <c:ptCount val="1"/>
                <c:pt idx="0">
                  <c:v>2.3113425925925926E-2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6F-41E4-B33B-A677BD1308AF}"/>
            </c:ext>
          </c:extLst>
        </c:ser>
        <c:ser>
          <c:idx val="5"/>
          <c:order val="5"/>
          <c:tx>
            <c:strRef>
              <c:f>Feuil4!$C$9</c:f>
              <c:strCache>
                <c:ptCount val="1"/>
                <c:pt idx="0">
                  <c:v>D2.2 Tool adjustment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Feuil4!$D$9</c:f>
              <c:numCache>
                <c:formatCode>[$-F400]h:mm:ss\ AM/PM</c:formatCode>
                <c:ptCount val="1"/>
                <c:pt idx="0">
                  <c:v>0.31496527777777789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6F-41E4-B33B-A677BD1308AF}"/>
            </c:ext>
          </c:extLst>
        </c:ser>
        <c:ser>
          <c:idx val="6"/>
          <c:order val="6"/>
          <c:tx>
            <c:strRef>
              <c:f>Feuil4!$C$10</c:f>
              <c:strCache>
                <c:ptCount val="1"/>
                <c:pt idx="0">
                  <c:v>D3.1.1 Missing wire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Feuil4!$D$10</c:f>
              <c:numCache>
                <c:formatCode>[$-F400]h:mm:ss\ AM/PM</c:formatCode>
                <c:ptCount val="1"/>
                <c:pt idx="0">
                  <c:v>6.9270833333333337E-2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6F-41E4-B33B-A677BD1308AF}"/>
            </c:ext>
          </c:extLst>
        </c:ser>
        <c:ser>
          <c:idx val="7"/>
          <c:order val="7"/>
          <c:tx>
            <c:strRef>
              <c:f>Feuil4!$C$11</c:f>
              <c:strCache>
                <c:ptCount val="1"/>
                <c:pt idx="0">
                  <c:v>D3.1.2 Missing terminal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Feuil4!$D$11</c:f>
              <c:numCache>
                <c:formatCode>[$-F400]h:mm:ss\ AM/PM</c:formatCode>
                <c:ptCount val="1"/>
                <c:pt idx="0">
                  <c:v>9.2673611111111109E-2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6F-41E4-B33B-A677BD1308AF}"/>
            </c:ext>
          </c:extLst>
        </c:ser>
        <c:ser>
          <c:idx val="8"/>
          <c:order val="8"/>
          <c:tx>
            <c:strRef>
              <c:f>Feuil4!$C$12</c:f>
              <c:strCache>
                <c:ptCount val="1"/>
                <c:pt idx="0">
                  <c:v>D3.1.3 Missing seal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Feuil4!$D$12</c:f>
              <c:numCache>
                <c:formatCode>[$-F400]h:mm:ss\ AM/PM</c:formatCode>
                <c:ptCount val="1"/>
                <c:pt idx="0">
                  <c:v>7.6967592592592591E-3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6F-41E4-B33B-A677BD1308AF}"/>
            </c:ext>
          </c:extLst>
        </c:ser>
        <c:ser>
          <c:idx val="9"/>
          <c:order val="9"/>
          <c:tx>
            <c:strRef>
              <c:f>Feuil4!$C$13</c:f>
              <c:strCache>
                <c:ptCount val="1"/>
                <c:pt idx="0">
                  <c:v>D3.1.7 Missing applicator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Feuil4!$D$13</c:f>
              <c:numCache>
                <c:formatCode>[$-F400]h:mm:ss\ AM/PM</c:formatCode>
                <c:ptCount val="1"/>
                <c:pt idx="0">
                  <c:v>2.9861111111111113E-2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6F-41E4-B33B-A677BD1308AF}"/>
            </c:ext>
          </c:extLst>
        </c:ser>
        <c:ser>
          <c:idx val="10"/>
          <c:order val="10"/>
          <c:tx>
            <c:strRef>
              <c:f>Feuil4!$C$14</c:f>
              <c:strCache>
                <c:ptCount val="1"/>
                <c:pt idx="0">
                  <c:v>D3.1.9 Delay in the issuance of warehouse, problem of transportation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Feuil4!$D$14</c:f>
              <c:numCache>
                <c:formatCode>[$-F400]h:mm:ss\ AM/PM</c:formatCode>
                <c:ptCount val="1"/>
                <c:pt idx="0">
                  <c:v>3.4837962962962965E-3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6F-41E4-B33B-A677BD1308AF}"/>
            </c:ext>
          </c:extLst>
        </c:ser>
        <c:ser>
          <c:idx val="11"/>
          <c:order val="11"/>
          <c:tx>
            <c:strRef>
              <c:f>Feuil4!$C$15</c:f>
              <c:strCache>
                <c:ptCount val="1"/>
                <c:pt idx="0">
                  <c:v>D4.10 Others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Feuil4!$D$15</c:f>
              <c:numCache>
                <c:formatCode>[$-F400]h:mm:ss\ AM/PM</c:formatCode>
                <c:ptCount val="1"/>
                <c:pt idx="0">
                  <c:v>1.0324074074074074E-2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C6F-41E4-B33B-A677BD1308AF}"/>
            </c:ext>
          </c:extLst>
        </c:ser>
        <c:ser>
          <c:idx val="12"/>
          <c:order val="12"/>
          <c:tx>
            <c:strRef>
              <c:f>Feuil4!$C$16</c:f>
              <c:strCache>
                <c:ptCount val="1"/>
                <c:pt idx="0">
                  <c:v>D4.4 Simulation for error, test own workplace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Feuil4!$D$16</c:f>
              <c:numCache>
                <c:formatCode>[$-F400]h:mm:ss\ AM/PM</c:formatCode>
                <c:ptCount val="1"/>
                <c:pt idx="0">
                  <c:v>4.5717592592592589E-3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6F-41E4-B33B-A677BD1308AF}"/>
            </c:ext>
          </c:extLst>
        </c:ser>
        <c:ser>
          <c:idx val="13"/>
          <c:order val="13"/>
          <c:tx>
            <c:strRef>
              <c:f>Feuil4!$C$17</c:f>
              <c:strCache>
                <c:ptCount val="1"/>
                <c:pt idx="0">
                  <c:v>D4.5 100% Sorting, Selection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Feuil4!$D$17</c:f>
              <c:numCache>
                <c:formatCode>[$-F400]h:mm:ss\ AM/PM</c:formatCode>
                <c:ptCount val="1"/>
                <c:pt idx="0">
                  <c:v>4.5115740740740741E-2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C6F-41E4-B33B-A677BD1308AF}"/>
            </c:ext>
          </c:extLst>
        </c:ser>
        <c:ser>
          <c:idx val="14"/>
          <c:order val="14"/>
          <c:tx>
            <c:strRef>
              <c:f>Feuil4!$C$18</c:f>
              <c:strCache>
                <c:ptCount val="1"/>
                <c:pt idx="0">
                  <c:v>D5.1 Express/Urgent Order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Feuil4!$D$18</c:f>
              <c:numCache>
                <c:formatCode>[$-F400]h:mm:ss\ AM/PM</c:formatCode>
                <c:ptCount val="1"/>
                <c:pt idx="0">
                  <c:v>1.9317129629629629E-2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C6F-41E4-B33B-A677BD1308AF}"/>
            </c:ext>
          </c:extLst>
        </c:ser>
        <c:ser>
          <c:idx val="15"/>
          <c:order val="15"/>
          <c:tx>
            <c:strRef>
              <c:f>Feuil4!$C$19</c:f>
              <c:strCache>
                <c:ptCount val="1"/>
                <c:pt idx="0">
                  <c:v>D5.2 Lack of Orders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Feuil4!$D$19</c:f>
              <c:numCache>
                <c:formatCode>[$-F400]h:mm:ss\ AM/PM</c:formatCode>
                <c:ptCount val="1"/>
                <c:pt idx="0">
                  <c:v>1.1111111111111112E-2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C6F-41E4-B33B-A677BD1308AF}"/>
            </c:ext>
          </c:extLst>
        </c:ser>
        <c:ser>
          <c:idx val="16"/>
          <c:order val="16"/>
          <c:tx>
            <c:strRef>
              <c:f>Feuil4!$C$20</c:f>
              <c:strCache>
                <c:ptCount val="1"/>
                <c:pt idx="0">
                  <c:v>D5.3 No Work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Feuil4!$D$20</c:f>
              <c:numCache>
                <c:formatCode>[$-F400]h:mm:ss\ AM/PM</c:formatCode>
                <c:ptCount val="1"/>
                <c:pt idx="0">
                  <c:v>6.0312499999999998E-2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C6F-41E4-B33B-A677BD1308AF}"/>
            </c:ext>
          </c:extLst>
        </c:ser>
        <c:ser>
          <c:idx val="17"/>
          <c:order val="17"/>
          <c:tx>
            <c:strRef>
              <c:f>Feuil4!$C$21</c:f>
              <c:strCache>
                <c:ptCount val="1"/>
                <c:pt idx="0">
                  <c:v>D6.2 Missing Norm-time, wrong data, equipment, missing operating base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Feuil4!$D$21</c:f>
              <c:numCache>
                <c:formatCode>[$-F400]h:mm:ss\ AM/PM</c:formatCode>
                <c:ptCount val="1"/>
                <c:pt idx="0">
                  <c:v>1.7592592592592592E-3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C6F-41E4-B33B-A677BD1308AF}"/>
            </c:ext>
          </c:extLst>
        </c:ser>
        <c:ser>
          <c:idx val="18"/>
          <c:order val="18"/>
          <c:tx>
            <c:strRef>
              <c:f>Feuil4!$C$22</c:f>
              <c:strCache>
                <c:ptCount val="1"/>
                <c:pt idx="0">
                  <c:v>D7.2 Training executives on the workplace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Feuil4!$D$22</c:f>
              <c:numCache>
                <c:formatCode>[$-F400]h:mm:ss\ AM/PM</c:formatCode>
                <c:ptCount val="1"/>
                <c:pt idx="0">
                  <c:v>5.4398148148148144E-4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C6F-41E4-B33B-A677BD1308AF}"/>
            </c:ext>
          </c:extLst>
        </c:ser>
        <c:ser>
          <c:idx val="19"/>
          <c:order val="19"/>
          <c:tx>
            <c:strRef>
              <c:f>Feuil4!$C$23</c:f>
              <c:strCache>
                <c:ptCount val="1"/>
                <c:pt idx="0">
                  <c:v>D8.10 Meeting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Feuil4!$D$23</c:f>
              <c:numCache>
                <c:formatCode>[$-F400]h:mm:ss\ AM/PM</c:formatCode>
                <c:ptCount val="1"/>
                <c:pt idx="0">
                  <c:v>0.24869212962962958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C6F-41E4-B33B-A677BD1308AF}"/>
            </c:ext>
          </c:extLst>
        </c:ser>
        <c:ser>
          <c:idx val="20"/>
          <c:order val="20"/>
          <c:tx>
            <c:strRef>
              <c:f>Feuil4!$C$24</c:f>
              <c:strCache>
                <c:ptCount val="1"/>
                <c:pt idx="0">
                  <c:v>D8.7 delay transport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Feuil4!$D$24</c:f>
              <c:numCache>
                <c:formatCode>[$-F400]h:mm:ss\ AM/PM</c:formatCode>
                <c:ptCount val="1"/>
                <c:pt idx="0">
                  <c:v>1.3888888888888887E-3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C6F-41E4-B33B-A677BD1308AF}"/>
            </c:ext>
          </c:extLst>
        </c:ser>
        <c:ser>
          <c:idx val="21"/>
          <c:order val="21"/>
          <c:tx>
            <c:strRef>
              <c:f>Feuil4!$C$25</c:f>
              <c:strCache>
                <c:ptCount val="1"/>
                <c:pt idx="0">
                  <c:v>DM 11 Conveyor failure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Feuil4!$D$25</c:f>
              <c:numCache>
                <c:formatCode>[$-F400]h:mm:ss\ AM/PM</c:formatCode>
                <c:ptCount val="1"/>
                <c:pt idx="0">
                  <c:v>3.4722222222222224E-4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C6F-41E4-B33B-A677BD1308AF}"/>
            </c:ext>
          </c:extLst>
        </c:ser>
        <c:ser>
          <c:idx val="22"/>
          <c:order val="22"/>
          <c:tx>
            <c:strRef>
              <c:f>Feuil4!$C$26</c:f>
              <c:strCache>
                <c:ptCount val="1"/>
                <c:pt idx="0">
                  <c:v>DM 13 Others failure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Feuil4!$D$26</c:f>
              <c:numCache>
                <c:formatCode>[$-F400]h:mm:ss\ AM/PM</c:formatCode>
                <c:ptCount val="1"/>
                <c:pt idx="0">
                  <c:v>7.3576388888888899E-2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C6F-41E4-B33B-A677BD1308AF}"/>
            </c:ext>
          </c:extLst>
        </c:ser>
        <c:ser>
          <c:idx val="23"/>
          <c:order val="23"/>
          <c:tx>
            <c:strRef>
              <c:f>Feuil4!$C$27</c:f>
              <c:strCache>
                <c:ptCount val="1"/>
                <c:pt idx="0">
                  <c:v>DM 2 Seal station failure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Feuil4!$D$27</c:f>
              <c:numCache>
                <c:formatCode>[$-F400]h:mm:ss\ AM/PM</c:formatCode>
                <c:ptCount val="1"/>
                <c:pt idx="0">
                  <c:v>6.9444444444444444E-5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C6F-41E4-B33B-A677BD1308AF}"/>
            </c:ext>
          </c:extLst>
        </c:ser>
        <c:ser>
          <c:idx val="24"/>
          <c:order val="24"/>
          <c:tx>
            <c:strRef>
              <c:f>Feuil4!$C$28</c:f>
              <c:strCache>
                <c:ptCount val="1"/>
                <c:pt idx="0">
                  <c:v>DM 8 Miniaplicator failure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Feuil4!$D$28</c:f>
              <c:numCache>
                <c:formatCode>[$-F400]h:mm:ss\ AM/PM</c:formatCode>
                <c:ptCount val="1"/>
                <c:pt idx="0">
                  <c:v>9.0856481481481483E-3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6F-41E4-B33B-A677BD1308AF}"/>
            </c:ext>
          </c:extLst>
        </c:ser>
        <c:ser>
          <c:idx val="25"/>
          <c:order val="25"/>
          <c:tx>
            <c:strRef>
              <c:f>Feuil4!$C$29</c:f>
              <c:strCache>
                <c:ptCount val="1"/>
                <c:pt idx="0">
                  <c:v>DM 9 Seal applicator failure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Feuil4!$D$29</c:f>
              <c:numCache>
                <c:formatCode>[$-F400]h:mm:ss\ AM/PM</c:formatCode>
                <c:ptCount val="1"/>
                <c:pt idx="0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C6F-41E4-B33B-A677BD1308AF}"/>
            </c:ext>
          </c:extLst>
        </c:ser>
        <c:ser>
          <c:idx val="26"/>
          <c:order val="26"/>
          <c:tx>
            <c:strRef>
              <c:f>Feuil4!$C$30</c:f>
              <c:strCache>
                <c:ptCount val="1"/>
                <c:pt idx="0">
                  <c:v>Maintenance Arrived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Feuil4!$D$30</c:f>
              <c:numCache>
                <c:formatCode>[$-F400]h:mm:ss\ AM/PM</c:formatCode>
                <c:ptCount val="1"/>
                <c:pt idx="0">
                  <c:v>8.8020833333333326E-2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C6F-41E4-B33B-A677BD1308AF}"/>
            </c:ext>
          </c:extLst>
        </c:ser>
        <c:ser>
          <c:idx val="27"/>
          <c:order val="27"/>
          <c:tx>
            <c:strRef>
              <c:f>Feuil4!$C$31</c:f>
              <c:strCache>
                <c:ptCount val="1"/>
                <c:pt idx="0">
                  <c:v>Missing Personnel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Feuil4!$D$31</c:f>
              <c:numCache>
                <c:formatCode>[$-F400]h:mm:ss\ AM/PM</c:formatCode>
                <c:ptCount val="1"/>
                <c:pt idx="0">
                  <c:v>6.7140972222222208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C6F-41E4-B33B-A677BD1308AF}"/>
            </c:ext>
          </c:extLst>
        </c:ser>
        <c:ser>
          <c:idx val="28"/>
          <c:order val="28"/>
          <c:tx>
            <c:strRef>
              <c:f>Feuil4!$C$32</c:f>
              <c:strCache>
                <c:ptCount val="1"/>
                <c:pt idx="0">
                  <c:v>No Cause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Feuil4!$D$32</c:f>
              <c:numCache>
                <c:formatCode>[$-F400]h:mm:ss\ AM/PM</c:formatCode>
                <c:ptCount val="1"/>
                <c:pt idx="0">
                  <c:v>4.4904050925925949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C6F-41E4-B33B-A677BD1308AF}"/>
            </c:ext>
          </c:extLst>
        </c:ser>
        <c:ser>
          <c:idx val="29"/>
          <c:order val="29"/>
          <c:tx>
            <c:strRef>
              <c:f>Feuil4!$C$33</c:f>
              <c:strCache>
                <c:ptCount val="1"/>
                <c:pt idx="0">
                  <c:v>No Order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Feuil4!$D$33</c:f>
              <c:numCache>
                <c:formatCode>[$-F400]h:mm:ss\ AM/PM</c:formatCode>
                <c:ptCount val="1"/>
                <c:pt idx="0">
                  <c:v>3.9930555555555552E-2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C6F-41E4-B33B-A677BD1308AF}"/>
            </c:ext>
          </c:extLst>
        </c:ser>
        <c:ser>
          <c:idx val="30"/>
          <c:order val="30"/>
          <c:tx>
            <c:strRef>
              <c:f>Feuil4!$C$34</c:f>
              <c:strCache>
                <c:ptCount val="1"/>
                <c:pt idx="0">
                  <c:v>Set up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Feuil4!$D$34</c:f>
              <c:numCache>
                <c:formatCode>[$-F400]h:mm:ss\ AM/PM</c:formatCode>
                <c:ptCount val="1"/>
                <c:pt idx="0">
                  <c:v>6.06766203703706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C6F-41E4-B33B-A677BD13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09952"/>
        <c:axId val="183615232"/>
      </c:barChart>
      <c:catAx>
        <c:axId val="183609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15232"/>
        <c:crosses val="autoZero"/>
        <c:auto val="1"/>
        <c:lblAlgn val="ctr"/>
        <c:lblOffset val="100"/>
        <c:noMultiLvlLbl val="0"/>
      </c:catAx>
      <c:valAx>
        <c:axId val="1836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0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657225</xdr:colOff>
      <xdr:row>1</xdr:row>
      <xdr:rowOff>42862</xdr:rowOff>
    </xdr:from>
    <xdr:to>
      <xdr:col>10</xdr:col>
      <xdr:colOff>657225</xdr:colOff>
      <xdr:row>14</xdr:row>
      <xdr:rowOff>119062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9D2ABE9-0A5B-AEA6-377A-568E467A5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37</xdr:row>
      <xdr:rowOff>128587</xdr:rowOff>
    </xdr:from>
    <xdr:to>
      <xdr:col>15</xdr:col>
      <xdr:colOff>247650</xdr:colOff>
      <xdr:row>60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CF0BDCB-6016-3176-738D-455E38DD8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2E27-6925-424F-B7B0-40BB4A83D75E}">
  <sheetPr codeName="Feuil3"/>
  <dimension ref="C4:D12"/>
  <sheetViews>
    <sheetView workbookViewId="0">
      <selection activeCell="A4" sqref="A4:XFD4"/>
    </sheetView>
  </sheetViews>
  <sheetFormatPr baseColWidth="10" defaultRowHeight="14.4" x14ac:dyDescent="0.3"/>
  <sheetData>
    <row r="4" spans="3:4" x14ac:dyDescent="0.3">
      <c r="C4" s="4" t="s">
        <v>5</v>
      </c>
      <c r="D4" s="4" t="s">
        <v>6</v>
      </c>
    </row>
    <row r="5" spans="3:4" x14ac:dyDescent="0.3">
      <c r="C5" s="1" t="s">
        <v>2</v>
      </c>
      <c r="D5" s="3">
        <v>10220.952777777778</v>
      </c>
    </row>
    <row r="6" spans="3:4" ht="28.8" x14ac:dyDescent="0.3">
      <c r="C6" s="1" t="s">
        <v>3</v>
      </c>
      <c r="D6" s="3">
        <v>6599.4944444444391</v>
      </c>
    </row>
    <row r="7" spans="3:4" x14ac:dyDescent="0.3">
      <c r="C7" s="1" t="s">
        <v>1</v>
      </c>
      <c r="D7" s="3">
        <v>6064.1840277777819</v>
      </c>
    </row>
    <row r="8" spans="3:4" x14ac:dyDescent="0.3">
      <c r="C8" s="1" t="s">
        <v>4</v>
      </c>
      <c r="D8" s="3">
        <v>1048.8798611111117</v>
      </c>
    </row>
    <row r="9" spans="3:4" x14ac:dyDescent="0.3">
      <c r="C9" s="1" t="s">
        <v>0</v>
      </c>
      <c r="D9" s="2">
        <v>0</v>
      </c>
    </row>
    <row r="10" spans="3:4" x14ac:dyDescent="0.3">
      <c r="C10" s="3"/>
      <c r="D10" s="1"/>
    </row>
    <row r="11" spans="3:4" x14ac:dyDescent="0.3">
      <c r="C11" s="3"/>
      <c r="D11" s="1"/>
    </row>
    <row r="12" spans="3:4" x14ac:dyDescent="0.3">
      <c r="C12" s="3"/>
      <c r="D12" s="1"/>
    </row>
  </sheetData>
  <autoFilter ref="C4:D4" xr:uid="{A36E2E27-6925-424F-B7B0-40BB4A83D75E}">
    <sortState xmlns:xlrd2="http://schemas.microsoft.com/office/spreadsheetml/2017/richdata2" ref="C5:D9">
      <sortCondition descending="1" ref="D4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81F8-9A11-4730-A4F9-767F3DE76678}">
  <sheetPr codeName="Feuil5"/>
  <dimension ref="C4:E45"/>
  <sheetViews>
    <sheetView tabSelected="1" zoomScale="85" zoomScaleNormal="85" workbookViewId="0">
      <selection activeCell="C6" sqref="C6"/>
    </sheetView>
  </sheetViews>
  <sheetFormatPr baseColWidth="10" defaultRowHeight="14.4" x14ac:dyDescent="0.3"/>
  <cols>
    <col min="3" max="3" width="52.44140625" customWidth="1"/>
    <col min="4" max="4" width="66.6640625" bestFit="1" customWidth="1"/>
  </cols>
  <sheetData>
    <row r="4" spans="3:4" x14ac:dyDescent="0.3">
      <c r="C4" s="5" t="s">
        <v>11</v>
      </c>
      <c r="D4" s="2">
        <v>1.6286805555555555</v>
      </c>
    </row>
    <row r="5" spans="3:4" x14ac:dyDescent="0.3">
      <c r="C5" s="5" t="s">
        <v>18</v>
      </c>
      <c r="D5" s="2">
        <v>0.45525462962962954</v>
      </c>
    </row>
    <row r="6" spans="3:4" x14ac:dyDescent="0.3">
      <c r="C6" s="5" t="s">
        <v>21</v>
      </c>
      <c r="D6" s="2">
        <v>1.0416666666666667E-3</v>
      </c>
    </row>
    <row r="7" spans="3:4" x14ac:dyDescent="0.3">
      <c r="C7" s="5" t="s">
        <v>39</v>
      </c>
      <c r="D7" s="2">
        <v>1.9675925925925926E-4</v>
      </c>
    </row>
    <row r="8" spans="3:4" x14ac:dyDescent="0.3">
      <c r="C8" s="5" t="s">
        <v>27</v>
      </c>
      <c r="D8" s="2">
        <v>2.3113425925925926E-2</v>
      </c>
    </row>
    <row r="9" spans="3:4" x14ac:dyDescent="0.3">
      <c r="C9" s="5" t="s">
        <v>12</v>
      </c>
      <c r="D9" s="2">
        <v>0.31496527777777789</v>
      </c>
    </row>
    <row r="10" spans="3:4" x14ac:dyDescent="0.3">
      <c r="C10" s="5" t="s">
        <v>25</v>
      </c>
      <c r="D10" s="2">
        <v>6.9270833333333337E-2</v>
      </c>
    </row>
    <row r="11" spans="3:4" x14ac:dyDescent="0.3">
      <c r="C11" s="5" t="s">
        <v>29</v>
      </c>
      <c r="D11" s="2">
        <v>9.2673611111111109E-2</v>
      </c>
    </row>
    <row r="12" spans="3:4" x14ac:dyDescent="0.3">
      <c r="C12" s="5" t="s">
        <v>38</v>
      </c>
      <c r="D12" s="2">
        <v>7.6967592592592591E-3</v>
      </c>
    </row>
    <row r="13" spans="3:4" x14ac:dyDescent="0.3">
      <c r="C13" s="5" t="s">
        <v>30</v>
      </c>
      <c r="D13" s="2">
        <v>2.9861111111111113E-2</v>
      </c>
    </row>
    <row r="14" spans="3:4" x14ac:dyDescent="0.3">
      <c r="C14" s="5" t="s">
        <v>33</v>
      </c>
      <c r="D14" s="2">
        <v>3.4837962962962965E-3</v>
      </c>
    </row>
    <row r="15" spans="3:4" x14ac:dyDescent="0.3">
      <c r="C15" s="5" t="s">
        <v>37</v>
      </c>
      <c r="D15" s="2">
        <v>1.0324074074074074E-2</v>
      </c>
    </row>
    <row r="16" spans="3:4" x14ac:dyDescent="0.3">
      <c r="C16" s="5" t="s">
        <v>26</v>
      </c>
      <c r="D16" s="2">
        <v>4.5717592592592589E-3</v>
      </c>
    </row>
    <row r="17" spans="3:4" x14ac:dyDescent="0.3">
      <c r="C17" s="5" t="s">
        <v>36</v>
      </c>
      <c r="D17" s="2">
        <v>4.5115740740740741E-2</v>
      </c>
    </row>
    <row r="18" spans="3:4" x14ac:dyDescent="0.3">
      <c r="C18" s="5" t="s">
        <v>31</v>
      </c>
      <c r="D18" s="2">
        <v>1.9317129629629629E-2</v>
      </c>
    </row>
    <row r="19" spans="3:4" x14ac:dyDescent="0.3">
      <c r="C19" s="5" t="s">
        <v>34</v>
      </c>
      <c r="D19" s="2">
        <v>1.1111111111111112E-2</v>
      </c>
    </row>
    <row r="20" spans="3:4" x14ac:dyDescent="0.3">
      <c r="C20" s="5" t="s">
        <v>20</v>
      </c>
      <c r="D20" s="2">
        <v>6.0312499999999998E-2</v>
      </c>
    </row>
    <row r="21" spans="3:4" x14ac:dyDescent="0.3">
      <c r="C21" s="5" t="s">
        <v>22</v>
      </c>
      <c r="D21" s="2">
        <v>1.7592592592592592E-3</v>
      </c>
    </row>
    <row r="22" spans="3:4" x14ac:dyDescent="0.3">
      <c r="C22" s="5" t="s">
        <v>23</v>
      </c>
      <c r="D22" s="2">
        <v>5.4398148148148144E-4</v>
      </c>
    </row>
    <row r="23" spans="3:4" x14ac:dyDescent="0.3">
      <c r="C23" s="5" t="s">
        <v>19</v>
      </c>
      <c r="D23" s="2">
        <v>0.24869212962962958</v>
      </c>
    </row>
    <row r="24" spans="3:4" x14ac:dyDescent="0.3">
      <c r="C24" s="5" t="s">
        <v>40</v>
      </c>
      <c r="D24" s="2">
        <v>1.3888888888888887E-3</v>
      </c>
    </row>
    <row r="25" spans="3:4" x14ac:dyDescent="0.3">
      <c r="C25" s="5" t="s">
        <v>15</v>
      </c>
      <c r="D25" s="2">
        <v>3.4722222222222224E-4</v>
      </c>
    </row>
    <row r="26" spans="3:4" x14ac:dyDescent="0.3">
      <c r="C26" s="5" t="s">
        <v>13</v>
      </c>
      <c r="D26" s="2">
        <v>7.3576388888888899E-2</v>
      </c>
    </row>
    <row r="27" spans="3:4" x14ac:dyDescent="0.3">
      <c r="C27" s="5" t="s">
        <v>28</v>
      </c>
      <c r="D27" s="2">
        <v>6.9444444444444444E-5</v>
      </c>
    </row>
    <row r="28" spans="3:4" x14ac:dyDescent="0.3">
      <c r="C28" s="5" t="s">
        <v>32</v>
      </c>
      <c r="D28" s="2">
        <v>9.0856481481481483E-3</v>
      </c>
    </row>
    <row r="29" spans="3:4" x14ac:dyDescent="0.3">
      <c r="C29" s="5" t="s">
        <v>35</v>
      </c>
      <c r="D29" s="2">
        <v>2.5000000000000001E-3</v>
      </c>
    </row>
    <row r="30" spans="3:4" x14ac:dyDescent="0.3">
      <c r="C30" s="5" t="s">
        <v>14</v>
      </c>
      <c r="D30" s="2">
        <v>8.8020833333333326E-2</v>
      </c>
    </row>
    <row r="31" spans="3:4" x14ac:dyDescent="0.3">
      <c r="C31" s="5" t="s">
        <v>7</v>
      </c>
      <c r="D31" s="2">
        <v>6.7140972222222208</v>
      </c>
    </row>
    <row r="32" spans="3:4" x14ac:dyDescent="0.3">
      <c r="C32" s="5" t="s">
        <v>8</v>
      </c>
      <c r="D32" s="2">
        <v>4.4904050925925949</v>
      </c>
    </row>
    <row r="33" spans="3:5" x14ac:dyDescent="0.3">
      <c r="C33" s="5" t="s">
        <v>24</v>
      </c>
      <c r="D33" s="2">
        <v>3.9930555555555552E-2</v>
      </c>
    </row>
    <row r="34" spans="3:5" x14ac:dyDescent="0.3">
      <c r="C34" s="5" t="s">
        <v>41</v>
      </c>
      <c r="D34" s="2">
        <f>E42+E43+E44+E45</f>
        <v>6.06766203703706</v>
      </c>
    </row>
    <row r="39" spans="3:5" x14ac:dyDescent="0.3">
      <c r="D39" s="5"/>
      <c r="E39" s="2"/>
    </row>
    <row r="40" spans="3:5" x14ac:dyDescent="0.3">
      <c r="D40" s="5"/>
      <c r="E40" s="2"/>
    </row>
    <row r="41" spans="3:5" x14ac:dyDescent="0.3">
      <c r="D41" s="5"/>
      <c r="E41" s="2"/>
    </row>
    <row r="42" spans="3:5" x14ac:dyDescent="0.3">
      <c r="D42" s="5" t="s">
        <v>9</v>
      </c>
      <c r="E42" s="2">
        <v>3.794004629629629</v>
      </c>
    </row>
    <row r="43" spans="3:5" x14ac:dyDescent="0.3">
      <c r="D43" s="5" t="s">
        <v>16</v>
      </c>
      <c r="E43" s="2">
        <v>1.2715046296296275</v>
      </c>
    </row>
    <row r="44" spans="3:5" x14ac:dyDescent="0.3">
      <c r="D44" s="5" t="s">
        <v>17</v>
      </c>
      <c r="E44" s="2">
        <v>0.23638888888888851</v>
      </c>
    </row>
    <row r="45" spans="3:5" x14ac:dyDescent="0.3">
      <c r="D45" s="5" t="s">
        <v>10</v>
      </c>
      <c r="E45" s="2">
        <v>0.76576388888891522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Rania boulehmi</cp:lastModifiedBy>
  <dcterms:modified xsi:type="dcterms:W3CDTF">2026-06-14T11:27:02Z</dcterms:modified>
</cp:coreProperties>
</file>